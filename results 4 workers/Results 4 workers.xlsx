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okumentumok_2026\PS\Revision\For resubmit\Repository\results 4 workers\"/>
    </mc:Choice>
  </mc:AlternateContent>
  <xr:revisionPtr revIDLastSave="0" documentId="13_ncr:1_{795409BF-D4C7-40DD-B832-28468046EE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9" i="1" l="1"/>
  <c r="T86" i="1"/>
  <c r="T83" i="1"/>
  <c r="T80" i="1"/>
  <c r="T77" i="1"/>
  <c r="T59" i="1"/>
  <c r="V58" i="1"/>
  <c r="V55" i="1"/>
  <c r="V52" i="1"/>
  <c r="V49" i="1"/>
  <c r="T45" i="1"/>
  <c r="T44" i="1"/>
  <c r="T43" i="1"/>
  <c r="T42" i="1"/>
  <c r="T41" i="1"/>
  <c r="T40" i="1"/>
  <c r="T39" i="1"/>
  <c r="T38" i="1"/>
  <c r="T37" i="1"/>
  <c r="T36" i="1"/>
  <c r="D80" i="1"/>
  <c r="D77" i="1"/>
  <c r="D74" i="1"/>
  <c r="D71" i="1"/>
  <c r="D68" i="1"/>
  <c r="D101" i="1"/>
  <c r="D98" i="1"/>
  <c r="D95" i="1"/>
  <c r="F49" i="1"/>
  <c r="F46" i="1"/>
  <c r="F43" i="1"/>
  <c r="F40" i="1"/>
  <c r="D50" i="1"/>
  <c r="D31" i="1"/>
  <c r="D30" i="1"/>
  <c r="D29" i="1"/>
  <c r="D28" i="1"/>
  <c r="D27" i="1"/>
  <c r="D26" i="1"/>
</calcChain>
</file>

<file path=xl/sharedStrings.xml><?xml version="1.0" encoding="utf-8"?>
<sst xmlns="http://schemas.openxmlformats.org/spreadsheetml/2006/main" count="89" uniqueCount="28">
  <si>
    <t>Threshold</t>
  </si>
  <si>
    <t/>
  </si>
  <si>
    <t>Average number of simulations LLM</t>
  </si>
  <si>
    <t>Number of simulations GA</t>
  </si>
  <si>
    <t>Best result from the GA</t>
  </si>
  <si>
    <t>Single worst makespan</t>
  </si>
  <si>
    <t>Single best makespan</t>
  </si>
  <si>
    <t>Median best makespan</t>
  </si>
  <si>
    <t>Standard dev. of best makespan</t>
  </si>
  <si>
    <t>Average simulation count LLM</t>
  </si>
  <si>
    <t>Min. simulation count</t>
  </si>
  <si>
    <t>Max. simulation count</t>
  </si>
  <si>
    <t>Average best result of the LLM</t>
  </si>
  <si>
    <t>Average best result from the LLM</t>
  </si>
  <si>
    <t>Average optimisation time LLM</t>
  </si>
  <si>
    <t>Min. optimisation time LLM</t>
  </si>
  <si>
    <t>Max. optimisation time LLM</t>
  </si>
  <si>
    <t>Median optimisation time LLM</t>
  </si>
  <si>
    <t>Standard dev. of optimisation time LLM</t>
  </si>
  <si>
    <t>Average number of simulations SA</t>
  </si>
  <si>
    <t>Average best result of the SA</t>
  </si>
  <si>
    <t>Average optimisation time SA</t>
  </si>
  <si>
    <t>Min. optimisation time SA</t>
  </si>
  <si>
    <t>Max. optimisation time SA</t>
  </si>
  <si>
    <t>Median optimisation time SA</t>
  </si>
  <si>
    <t>Standard dev. of optimisation time SA</t>
  </si>
  <si>
    <t>First simulation reaching threshold SA</t>
  </si>
  <si>
    <t>First simulation reaching threshold 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</si>
</sst>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6" applyNumberFormat="0" applyAlignment="0" applyProtection="0"/>
    <xf numFmtId="0" fontId="10" fillId="6" borderId="7" applyNumberFormat="0" applyAlignment="0" applyProtection="0"/>
    <xf numFmtId="0" fontId="11" fillId="6" borderId="6" applyNumberFormat="0" applyAlignment="0" applyProtection="0"/>
    <xf numFmtId="0" fontId="12" fillId="0" borderId="8" applyNumberFormat="0" applyFill="0" applyAlignment="0" applyProtection="0"/>
    <xf numFmtId="0" fontId="13" fillId="7" borderId="9" applyNumberFormat="0" applyAlignment="0" applyProtection="0"/>
    <xf numFmtId="0" fontId="14" fillId="0" borderId="0" applyNumberFormat="0" applyFill="0" applyBorder="0" applyAlignment="0" applyProtection="0"/>
    <xf numFmtId="0" fontId="1" fillId="8" borderId="10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1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1" fillId="0" borderId="2" xfId="1" applyBorder="1"/>
    <xf numFmtId="0" fontId="0" fillId="0" borderId="12" xfId="0" applyBorder="1"/>
    <xf numFmtId="0" fontId="0" fillId="0" borderId="13" xfId="0" applyBorder="1"/>
    <xf numFmtId="0" fontId="1" fillId="0" borderId="13" xfId="1" applyBorder="1"/>
    <xf numFmtId="0" fontId="0" fillId="0" borderId="2" xfId="0" applyBorder="1"/>
  </cellXfs>
  <cellStyles count="43">
    <cellStyle name="20% - 1. jelölőszín 2" xfId="20" xr:uid="{C853FAF1-633E-473F-81D7-BBE282D96D69}"/>
    <cellStyle name="20% - 2. jelölőszín 2" xfId="24" xr:uid="{5C1DF80D-DA5A-45AD-8136-6254681C2B89}"/>
    <cellStyle name="20% - 3. jelölőszín 2" xfId="28" xr:uid="{70A60B5A-378D-4F87-8A95-C7BBCB117739}"/>
    <cellStyle name="20% - 4. jelölőszín 2" xfId="32" xr:uid="{521C8477-C99E-4F69-8A29-5C22C45806B1}"/>
    <cellStyle name="20% - 5. jelölőszín 2" xfId="36" xr:uid="{27FD71CB-FA9C-41CA-BEAA-17863E3C0C31}"/>
    <cellStyle name="20% - 6. jelölőszín 2" xfId="40" xr:uid="{92636E85-A2C8-43EB-96F1-98C999E7C9E7}"/>
    <cellStyle name="40% - 1. jelölőszín 2" xfId="21" xr:uid="{81AE0786-BC5D-459D-8A5F-8A19162E2B67}"/>
    <cellStyle name="40% - 2. jelölőszín 2" xfId="25" xr:uid="{4DEBFB12-76D6-4D0D-8988-6E188E7CD315}"/>
    <cellStyle name="40% - 3. jelölőszín 2" xfId="29" xr:uid="{007B47A6-F0C0-4B32-B0A0-27DD36AB4D20}"/>
    <cellStyle name="40% - 4. jelölőszín 2" xfId="33" xr:uid="{209E4C78-24B6-4C9B-AB6C-16CB6D465042}"/>
    <cellStyle name="40% - 5. jelölőszín 2" xfId="37" xr:uid="{F20D1CB3-913A-41D1-8E13-52069B928899}"/>
    <cellStyle name="40% - 6. jelölőszín 2" xfId="41" xr:uid="{CAFF381E-0A51-4EDC-8DD5-C1CBB036EBE0}"/>
    <cellStyle name="60% - 1. jelölőszín 2" xfId="22" xr:uid="{84C69068-1347-4C2F-9D52-935824439D24}"/>
    <cellStyle name="60% - 2. jelölőszín 2" xfId="26" xr:uid="{46A2D3CE-1F8A-4973-A4A2-A4E08AE842A0}"/>
    <cellStyle name="60% - 3. jelölőszín 2" xfId="30" xr:uid="{42494EDF-BB9E-44FF-B220-D1BC31EF8FDB}"/>
    <cellStyle name="60% - 4. jelölőszín 2" xfId="34" xr:uid="{95EFB42B-F4D5-44DE-8B2A-E8458D2A5AE0}"/>
    <cellStyle name="60% - 5. jelölőszín 2" xfId="38" xr:uid="{F2D5289B-7BC9-4A9D-8214-D5EDEA069DFC}"/>
    <cellStyle name="60% - 6. jelölőszín 2" xfId="42" xr:uid="{CAD82CFC-9256-427B-9402-FA365AC044AB}"/>
    <cellStyle name="Bevitel 2" xfId="10" xr:uid="{D488EF3B-8CE3-48A0-A7B0-AF3246E54149}"/>
    <cellStyle name="Cím 2" xfId="2" xr:uid="{70A75201-926C-4B68-9390-A7DF1A82B733}"/>
    <cellStyle name="Címsor 1 2" xfId="3" xr:uid="{7D3EC32F-EAF5-4830-ACB6-AE931FF783E5}"/>
    <cellStyle name="Címsor 2 2" xfId="4" xr:uid="{DAD8A990-B8D8-41A1-A8E9-CEC657182EE2}"/>
    <cellStyle name="Címsor 3 2" xfId="5" xr:uid="{8989E3A1-A4B6-41EA-8475-5D19D91F1094}"/>
    <cellStyle name="Címsor 4 2" xfId="6" xr:uid="{99EE9A9E-499C-45A8-BB94-8B683C8F8EEF}"/>
    <cellStyle name="Ellenőrzőcella 2" xfId="14" xr:uid="{875D4C6A-4005-41AF-A524-5E2522E304EE}"/>
    <cellStyle name="Figyelmeztetés 2" xfId="15" xr:uid="{2A57FC4F-6326-4CBC-9616-E80331A59D86}"/>
    <cellStyle name="Hivatkozott cella 2" xfId="13" xr:uid="{3079CA2E-7DC5-42F5-B1BD-BB860E71C2DE}"/>
    <cellStyle name="Jegyzet 2" xfId="16" xr:uid="{46AC4C55-B9C3-4586-AC46-32D36391BBF3}"/>
    <cellStyle name="Jelölőszín 1 2" xfId="19" xr:uid="{108EF8BC-3ED6-452E-A255-ADEA9608423D}"/>
    <cellStyle name="Jelölőszín 2 2" xfId="23" xr:uid="{C2CC6939-5D10-472F-B78F-903C56B5AA4C}"/>
    <cellStyle name="Jelölőszín 3 2" xfId="27" xr:uid="{27050432-BB50-4583-A2F1-C4A0478BF003}"/>
    <cellStyle name="Jelölőszín 4 2" xfId="31" xr:uid="{3EED68BD-1C7D-489A-A9CB-FAF8F01AD381}"/>
    <cellStyle name="Jelölőszín 5 2" xfId="35" xr:uid="{E28D69FB-6072-4A76-8C84-0A2960BF585E}"/>
    <cellStyle name="Jelölőszín 6 2" xfId="39" xr:uid="{14E69914-9E3A-47B4-8DD6-E8A77175A31F}"/>
    <cellStyle name="Jó 2" xfId="7" xr:uid="{241A6366-9D40-4A8D-8196-923080AD67E0}"/>
    <cellStyle name="Kimenet 2" xfId="11" xr:uid="{17BC60D7-DC35-4CCD-88DC-2763A9C40890}"/>
    <cellStyle name="Magyarázó szöveg 2" xfId="17" xr:uid="{06119FB4-4188-4589-A84F-8CF60F1A960C}"/>
    <cellStyle name="Normál" xfId="0" builtinId="0"/>
    <cellStyle name="Normál 2" xfId="1" xr:uid="{C3BE7627-8C00-4B58-8799-D23386C7A449}"/>
    <cellStyle name="Összesen 2" xfId="18" xr:uid="{DEA3D9EA-51E0-4A5F-A38A-4FBB3B0945BD}"/>
    <cellStyle name="Rossz 2" xfId="8" xr:uid="{227EE38B-F346-42B6-BE76-0937D62FDBB0}"/>
    <cellStyle name="Semleges 2" xfId="9" xr:uid="{811586A9-1EA0-4076-B7C0-A0C99CA4BE08}"/>
    <cellStyle name="Számítás 2" xfId="12" xr:uid="{CA03DB02-3A47-48C9-846E-0F81CEFA7F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Munka1!$F$26:$F$36</c:f>
              <c:numCache>
                <c:formatCode>General</c:formatCode>
                <c:ptCount val="11"/>
                <c:pt idx="0">
                  <c:v>16400</c:v>
                </c:pt>
                <c:pt idx="1">
                  <c:v>16200</c:v>
                </c:pt>
                <c:pt idx="2">
                  <c:v>16000</c:v>
                </c:pt>
                <c:pt idx="3">
                  <c:v>15800</c:v>
                </c:pt>
                <c:pt idx="4">
                  <c:v>15600</c:v>
                </c:pt>
                <c:pt idx="5">
                  <c:v>15400</c:v>
                </c:pt>
                <c:pt idx="6">
                  <c:v>15200</c:v>
                </c:pt>
                <c:pt idx="7">
                  <c:v>15000</c:v>
                </c:pt>
                <c:pt idx="8">
                  <c:v>14800</c:v>
                </c:pt>
                <c:pt idx="9">
                  <c:v>14600</c:v>
                </c:pt>
              </c:numCache>
            </c:numRef>
          </c:xVal>
          <c:yVal>
            <c:numRef>
              <c:f>Munka1!$G$26:$G$36</c:f>
              <c:numCache>
                <c:formatCode>General</c:formatCode>
                <c:ptCount val="11"/>
                <c:pt idx="0">
                  <c:v>154</c:v>
                </c:pt>
                <c:pt idx="1">
                  <c:v>199</c:v>
                </c:pt>
                <c:pt idx="2">
                  <c:v>199</c:v>
                </c:pt>
                <c:pt idx="3">
                  <c:v>438</c:v>
                </c:pt>
                <c:pt idx="4">
                  <c:v>680</c:v>
                </c:pt>
                <c:pt idx="5">
                  <c:v>1051</c:v>
                </c:pt>
                <c:pt idx="6">
                  <c:v>1323</c:v>
                </c:pt>
                <c:pt idx="7">
                  <c:v>2499</c:v>
                </c:pt>
                <c:pt idx="8">
                  <c:v>3962</c:v>
                </c:pt>
                <c:pt idx="9">
                  <c:v>4922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10F-4375-A23D-574E0872FEA8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Munka1!$C$54</c:f>
              <c:numCache>
                <c:formatCode>General</c:formatCode>
                <c:ptCount val="1"/>
                <c:pt idx="0">
                  <c:v>15060.655648021333</c:v>
                </c:pt>
              </c:numCache>
            </c:numRef>
          </c:xVal>
          <c:yVal>
            <c:numRef>
              <c:f>Munka1!$D$54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3D-4F26-A7E5-3507316D0AC3}"/>
            </c:ext>
          </c:extLst>
        </c:ser>
        <c:ser>
          <c:idx val="3"/>
          <c:order val="2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Munka1!$F$54</c:f>
              <c:numCache>
                <c:formatCode>General</c:formatCode>
                <c:ptCount val="1"/>
                <c:pt idx="0">
                  <c:v>14405.955900000001</c:v>
                </c:pt>
              </c:numCache>
            </c:numRef>
          </c:xVal>
          <c:yVal>
            <c:numRef>
              <c:f>Munka1!$G$54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3D-4F26-A7E5-3507316D0AC3}"/>
            </c:ext>
          </c:extLst>
        </c:ser>
        <c:ser>
          <c:idx val="4"/>
          <c:order val="3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Munka1!$S$36:$S$45</c:f>
              <c:numCache>
                <c:formatCode>General</c:formatCode>
                <c:ptCount val="10"/>
                <c:pt idx="0">
                  <c:v>16400</c:v>
                </c:pt>
                <c:pt idx="1">
                  <c:v>16200</c:v>
                </c:pt>
                <c:pt idx="2">
                  <c:v>16000</c:v>
                </c:pt>
                <c:pt idx="3">
                  <c:v>15800</c:v>
                </c:pt>
                <c:pt idx="4">
                  <c:v>15600</c:v>
                </c:pt>
                <c:pt idx="5">
                  <c:v>15400</c:v>
                </c:pt>
                <c:pt idx="6">
                  <c:v>15200</c:v>
                </c:pt>
                <c:pt idx="7">
                  <c:v>15000</c:v>
                </c:pt>
                <c:pt idx="8">
                  <c:v>14800</c:v>
                </c:pt>
                <c:pt idx="9">
                  <c:v>14600</c:v>
                </c:pt>
              </c:numCache>
            </c:numRef>
          </c:xVal>
          <c:yVal>
            <c:numRef>
              <c:f>Munka1!$T$36:$T$45</c:f>
              <c:numCache>
                <c:formatCode>General</c:formatCode>
                <c:ptCount val="10"/>
                <c:pt idx="0">
                  <c:v>9.4</c:v>
                </c:pt>
                <c:pt idx="1">
                  <c:v>19.399999999999999</c:v>
                </c:pt>
                <c:pt idx="2">
                  <c:v>22</c:v>
                </c:pt>
                <c:pt idx="3">
                  <c:v>32.700000000000003</c:v>
                </c:pt>
                <c:pt idx="4">
                  <c:v>58.8</c:v>
                </c:pt>
                <c:pt idx="5">
                  <c:v>99.4</c:v>
                </c:pt>
                <c:pt idx="6">
                  <c:v>283.39999999999998</c:v>
                </c:pt>
                <c:pt idx="7">
                  <c:v>458.5</c:v>
                </c:pt>
                <c:pt idx="8">
                  <c:v>812.7</c:v>
                </c:pt>
                <c:pt idx="9">
                  <c:v>1221.4000000000001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72-4379-9ABA-134149E8ACC2}"/>
            </c:ext>
          </c:extLst>
        </c:ser>
        <c:ser>
          <c:idx val="1"/>
          <c:order val="4"/>
          <c:tx>
            <c:v>LLM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Munka1!$C$26:$C$31</c:f>
              <c:numCache>
                <c:formatCode>General</c:formatCode>
                <c:ptCount val="6"/>
                <c:pt idx="0">
                  <c:v>16400</c:v>
                </c:pt>
                <c:pt idx="1">
                  <c:v>16200</c:v>
                </c:pt>
                <c:pt idx="2">
                  <c:v>16000</c:v>
                </c:pt>
                <c:pt idx="3">
                  <c:v>15800</c:v>
                </c:pt>
                <c:pt idx="4">
                  <c:v>15600</c:v>
                </c:pt>
                <c:pt idx="5">
                  <c:v>15400</c:v>
                </c:pt>
              </c:numCache>
            </c:numRef>
          </c:xVal>
          <c:yVal>
            <c:numRef>
              <c:f>Munka1!$D$26:$D$31</c:f>
              <c:numCache>
                <c:formatCode>General</c:formatCode>
                <c:ptCount val="6"/>
                <c:pt idx="0">
                  <c:v>3.3</c:v>
                </c:pt>
                <c:pt idx="1">
                  <c:v>3.8</c:v>
                </c:pt>
                <c:pt idx="2">
                  <c:v>6.7</c:v>
                </c:pt>
                <c:pt idx="3">
                  <c:v>8.4</c:v>
                </c:pt>
                <c:pt idx="4">
                  <c:v>56.1</c:v>
                </c:pt>
                <c:pt idx="5">
                  <c:v>153.5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10F-4375-A23D-574E0872FEA8}"/>
            </c:ext>
          </c:extLst>
        </c:ser>
        <c:ser>
          <c:idx val="5"/>
          <c:order val="5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Munka1!$S$63</c:f>
              <c:numCache>
                <c:formatCode>General</c:formatCode>
                <c:ptCount val="1"/>
                <c:pt idx="0">
                  <c:v>14370.281209033341</c:v>
                </c:pt>
              </c:numCache>
            </c:numRef>
          </c:xVal>
          <c:yVal>
            <c:numRef>
              <c:f>Munka1!$T$63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72-4379-9ABA-134149E8A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462399"/>
        <c:axId val="1340461439"/>
      </c:scatterChart>
      <c:valAx>
        <c:axId val="1340462399"/>
        <c:scaling>
          <c:orientation val="maxMin"/>
          <c:max val="16500"/>
          <c:min val="14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40461439"/>
        <c:crosses val="autoZero"/>
        <c:crossBetween val="midCat"/>
      </c:valAx>
      <c:valAx>
        <c:axId val="134046143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4046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26</xdr:row>
      <xdr:rowOff>177798</xdr:rowOff>
    </xdr:from>
    <xdr:to>
      <xdr:col>14</xdr:col>
      <xdr:colOff>514350</xdr:colOff>
      <xdr:row>48</xdr:row>
      <xdr:rowOff>190499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C09FE0CF-7BC1-8A52-719D-1137C379F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AF101"/>
  <sheetViews>
    <sheetView tabSelected="1" topLeftCell="H27" zoomScale="150" zoomScaleNormal="150" workbookViewId="0">
      <selection activeCell="P41" sqref="P41"/>
    </sheetView>
  </sheetViews>
  <sheetFormatPr defaultRowHeight="15" x14ac:dyDescent="0.25"/>
  <cols>
    <col min="3" max="3" width="10" customWidth="1"/>
    <col min="4" max="4" width="38.85546875" customWidth="1"/>
    <col min="6" max="6" width="12.7109375" customWidth="1"/>
    <col min="7" max="7" width="38" customWidth="1"/>
    <col min="10" max="10" width="37.42578125" customWidth="1"/>
    <col min="13" max="13" width="36.42578125" customWidth="1"/>
    <col min="15" max="15" width="9.85546875" customWidth="1"/>
    <col min="16" max="16" width="37.140625" customWidth="1"/>
    <col min="19" max="19" width="11.7109375" customWidth="1"/>
    <col min="20" max="20" width="34.5703125" customWidth="1"/>
    <col min="22" max="22" width="12.5703125" customWidth="1"/>
    <col min="23" max="23" width="35.85546875" customWidth="1"/>
    <col min="25" max="25" width="13" customWidth="1"/>
    <col min="26" max="26" width="36.42578125" customWidth="1"/>
    <col min="28" max="28" width="12.42578125" customWidth="1"/>
    <col min="29" max="29" width="37.7109375" customWidth="1"/>
    <col min="31" max="31" width="12.5703125" customWidth="1"/>
    <col min="32" max="32" width="36.42578125" customWidth="1"/>
  </cols>
  <sheetData>
    <row r="5" spans="3:32" x14ac:dyDescent="0.25">
      <c r="C5" s="3" t="s">
        <v>0</v>
      </c>
      <c r="D5" s="3" t="s">
        <v>27</v>
      </c>
      <c r="F5" s="3" t="s">
        <v>0</v>
      </c>
      <c r="G5" s="3" t="s">
        <v>27</v>
      </c>
      <c r="I5" s="3" t="s">
        <v>0</v>
      </c>
      <c r="J5" s="3" t="s">
        <v>27</v>
      </c>
      <c r="L5" s="3" t="s">
        <v>0</v>
      </c>
      <c r="M5" s="3" t="s">
        <v>27</v>
      </c>
      <c r="O5" s="3" t="s">
        <v>0</v>
      </c>
      <c r="P5" s="3" t="s">
        <v>27</v>
      </c>
      <c r="S5" s="3" t="s">
        <v>0</v>
      </c>
      <c r="T5" s="3" t="s">
        <v>26</v>
      </c>
      <c r="V5" s="3" t="s">
        <v>0</v>
      </c>
      <c r="W5" s="3" t="s">
        <v>26</v>
      </c>
      <c r="Y5" s="3" t="s">
        <v>0</v>
      </c>
      <c r="Z5" s="3" t="s">
        <v>26</v>
      </c>
      <c r="AB5" s="3" t="s">
        <v>0</v>
      </c>
      <c r="AC5" s="3" t="s">
        <v>26</v>
      </c>
      <c r="AE5" s="3" t="s">
        <v>0</v>
      </c>
      <c r="AF5" s="3" t="s">
        <v>26</v>
      </c>
    </row>
    <row r="6" spans="3:32" x14ac:dyDescent="0.25">
      <c r="C6" s="3">
        <v>16400</v>
      </c>
      <c r="D6" s="3">
        <v>2</v>
      </c>
      <c r="F6" s="3">
        <v>16400</v>
      </c>
      <c r="G6" s="3">
        <v>2</v>
      </c>
      <c r="I6" s="3">
        <v>16400</v>
      </c>
      <c r="J6" s="3">
        <v>4</v>
      </c>
      <c r="L6" s="3">
        <v>16400</v>
      </c>
      <c r="M6" s="3">
        <v>5</v>
      </c>
      <c r="O6" s="3">
        <v>16400</v>
      </c>
      <c r="P6" s="3">
        <v>2</v>
      </c>
      <c r="S6" s="3">
        <v>16400</v>
      </c>
      <c r="T6" s="3">
        <v>3</v>
      </c>
      <c r="V6" s="3">
        <v>16400</v>
      </c>
      <c r="W6" s="3">
        <v>4</v>
      </c>
      <c r="Y6" s="3">
        <v>16400</v>
      </c>
      <c r="Z6" s="3">
        <v>21</v>
      </c>
      <c r="AB6" s="3">
        <v>16400</v>
      </c>
      <c r="AC6" s="3">
        <v>9</v>
      </c>
      <c r="AE6" s="3">
        <v>16400</v>
      </c>
      <c r="AF6" s="3">
        <v>14</v>
      </c>
    </row>
    <row r="7" spans="3:32" x14ac:dyDescent="0.25">
      <c r="C7" s="3">
        <v>16200</v>
      </c>
      <c r="D7" s="3">
        <v>2</v>
      </c>
      <c r="F7" s="3">
        <v>16200</v>
      </c>
      <c r="G7" s="3">
        <v>2</v>
      </c>
      <c r="I7" s="3">
        <v>16200</v>
      </c>
      <c r="J7" s="3">
        <v>5</v>
      </c>
      <c r="L7" s="3">
        <v>16200</v>
      </c>
      <c r="M7" s="3">
        <v>5</v>
      </c>
      <c r="O7" s="3">
        <v>16200</v>
      </c>
      <c r="P7" s="3">
        <v>2</v>
      </c>
      <c r="S7" s="3">
        <v>16200</v>
      </c>
      <c r="T7" s="3">
        <v>23</v>
      </c>
      <c r="V7" s="3">
        <v>16200</v>
      </c>
      <c r="W7" s="3">
        <v>5</v>
      </c>
      <c r="Y7" s="3">
        <v>16200</v>
      </c>
      <c r="Z7" s="3">
        <v>47</v>
      </c>
      <c r="AB7" s="3">
        <v>16200</v>
      </c>
      <c r="AC7" s="3">
        <v>23</v>
      </c>
      <c r="AE7" s="3">
        <v>16200</v>
      </c>
      <c r="AF7" s="3">
        <v>17</v>
      </c>
    </row>
    <row r="8" spans="3:32" x14ac:dyDescent="0.25">
      <c r="C8" s="3">
        <v>16000</v>
      </c>
      <c r="D8" s="3">
        <v>2</v>
      </c>
      <c r="F8" s="3">
        <v>16000</v>
      </c>
      <c r="G8" s="3">
        <v>2</v>
      </c>
      <c r="I8" s="3">
        <v>16000</v>
      </c>
      <c r="J8" s="3">
        <v>7</v>
      </c>
      <c r="L8" s="3">
        <v>16000</v>
      </c>
      <c r="M8" s="3">
        <v>12</v>
      </c>
      <c r="O8" s="3">
        <v>16000</v>
      </c>
      <c r="P8" s="3">
        <v>2</v>
      </c>
      <c r="S8" s="3">
        <v>16000</v>
      </c>
      <c r="T8" s="3">
        <v>23</v>
      </c>
      <c r="V8" s="3">
        <v>16000</v>
      </c>
      <c r="W8" s="3">
        <v>7</v>
      </c>
      <c r="Y8" s="3">
        <v>16000</v>
      </c>
      <c r="Z8" s="3">
        <v>47</v>
      </c>
      <c r="AB8" s="3">
        <v>16000</v>
      </c>
      <c r="AC8" s="3">
        <v>23</v>
      </c>
      <c r="AE8" s="3">
        <v>16000</v>
      </c>
      <c r="AF8" s="3">
        <v>17</v>
      </c>
    </row>
    <row r="9" spans="3:32" x14ac:dyDescent="0.25">
      <c r="C9" s="3">
        <v>15800</v>
      </c>
      <c r="D9" s="3">
        <v>2</v>
      </c>
      <c r="F9" s="3">
        <v>15800</v>
      </c>
      <c r="G9" s="3">
        <v>2</v>
      </c>
      <c r="I9" s="3">
        <v>15800</v>
      </c>
      <c r="J9" s="3">
        <v>7</v>
      </c>
      <c r="L9" s="3">
        <v>15800</v>
      </c>
      <c r="M9" s="3">
        <v>12</v>
      </c>
      <c r="O9" s="3">
        <v>15800</v>
      </c>
      <c r="P9" s="3">
        <v>2</v>
      </c>
      <c r="S9" s="3">
        <v>15800</v>
      </c>
      <c r="T9" s="3">
        <v>48</v>
      </c>
      <c r="V9" s="3">
        <v>15800</v>
      </c>
      <c r="W9" s="3">
        <v>27</v>
      </c>
      <c r="Y9" s="3">
        <v>15800</v>
      </c>
      <c r="Z9" s="3">
        <v>75</v>
      </c>
      <c r="AB9" s="3">
        <v>15800</v>
      </c>
      <c r="AC9" s="3">
        <v>42</v>
      </c>
      <c r="AE9" s="3">
        <v>15800</v>
      </c>
      <c r="AF9" s="3">
        <v>17</v>
      </c>
    </row>
    <row r="10" spans="3:32" x14ac:dyDescent="0.25">
      <c r="C10" s="3">
        <v>15600</v>
      </c>
      <c r="D10" s="3">
        <v>42</v>
      </c>
      <c r="F10" s="3">
        <v>15600</v>
      </c>
      <c r="G10" s="3">
        <v>10</v>
      </c>
      <c r="I10" s="3">
        <v>15600</v>
      </c>
      <c r="J10" s="3">
        <v>74</v>
      </c>
      <c r="L10" s="3">
        <v>15600</v>
      </c>
      <c r="M10" s="3">
        <v>12</v>
      </c>
      <c r="O10" s="3">
        <v>15600</v>
      </c>
      <c r="P10" s="3">
        <v>45</v>
      </c>
      <c r="S10" s="3">
        <v>15600</v>
      </c>
      <c r="T10" s="3">
        <v>137</v>
      </c>
      <c r="V10" s="3">
        <v>15600</v>
      </c>
      <c r="W10" s="3">
        <v>27</v>
      </c>
      <c r="Y10" s="3">
        <v>15600</v>
      </c>
      <c r="Z10" s="3">
        <v>184</v>
      </c>
      <c r="AB10" s="3">
        <v>15600</v>
      </c>
      <c r="AC10" s="3">
        <v>44</v>
      </c>
      <c r="AE10" s="3">
        <v>15600</v>
      </c>
      <c r="AF10" s="3">
        <v>27</v>
      </c>
    </row>
    <row r="11" spans="3:32" x14ac:dyDescent="0.25">
      <c r="C11" s="3">
        <v>15400</v>
      </c>
      <c r="D11" s="3">
        <v>101</v>
      </c>
      <c r="F11" s="3">
        <v>15400</v>
      </c>
      <c r="G11" s="3">
        <v>55</v>
      </c>
      <c r="I11" s="3">
        <v>15400</v>
      </c>
      <c r="J11" s="3">
        <v>182</v>
      </c>
      <c r="L11" s="3">
        <v>15400</v>
      </c>
      <c r="M11" s="3">
        <v>35</v>
      </c>
      <c r="O11" s="3">
        <v>15400</v>
      </c>
      <c r="P11" s="3">
        <v>45</v>
      </c>
      <c r="S11" s="3">
        <v>15400</v>
      </c>
      <c r="T11" s="3">
        <v>199</v>
      </c>
      <c r="V11" s="3">
        <v>15400</v>
      </c>
      <c r="W11" s="3">
        <v>27</v>
      </c>
      <c r="Y11" s="3">
        <v>15400</v>
      </c>
      <c r="Z11" s="3">
        <v>304</v>
      </c>
      <c r="AB11" s="3">
        <v>15400</v>
      </c>
      <c r="AC11" s="3">
        <v>121</v>
      </c>
      <c r="AE11" s="3">
        <v>15400</v>
      </c>
      <c r="AF11" s="3">
        <v>30</v>
      </c>
    </row>
    <row r="12" spans="3:32" x14ac:dyDescent="0.25">
      <c r="C12" s="3">
        <v>15200</v>
      </c>
      <c r="D12" s="3">
        <v>101</v>
      </c>
      <c r="F12" s="3">
        <v>15200</v>
      </c>
      <c r="G12" s="3" t="s">
        <v>1</v>
      </c>
      <c r="I12" s="3">
        <v>15200</v>
      </c>
      <c r="J12" s="3" t="s">
        <v>1</v>
      </c>
      <c r="L12" s="3">
        <v>15200</v>
      </c>
      <c r="M12" s="3">
        <v>435</v>
      </c>
      <c r="O12" s="3">
        <v>15200</v>
      </c>
      <c r="P12" s="3" t="s">
        <v>1</v>
      </c>
      <c r="S12" s="3">
        <v>15200</v>
      </c>
      <c r="T12" s="3">
        <v>468</v>
      </c>
      <c r="V12" s="3">
        <v>15200</v>
      </c>
      <c r="W12" s="3">
        <v>438</v>
      </c>
      <c r="Y12" s="3">
        <v>15200</v>
      </c>
      <c r="Z12" s="3">
        <v>741</v>
      </c>
      <c r="AB12" s="3">
        <v>15200</v>
      </c>
      <c r="AC12" s="3">
        <v>382</v>
      </c>
      <c r="AE12" s="3">
        <v>15200</v>
      </c>
      <c r="AF12" s="3">
        <v>55</v>
      </c>
    </row>
    <row r="13" spans="3:32" x14ac:dyDescent="0.25">
      <c r="S13" s="3">
        <v>15000</v>
      </c>
      <c r="T13" s="3">
        <v>468</v>
      </c>
      <c r="V13" s="3">
        <v>15000</v>
      </c>
      <c r="W13" s="3">
        <v>674</v>
      </c>
      <c r="Y13" s="3">
        <v>15000</v>
      </c>
      <c r="Z13" s="3">
        <v>982</v>
      </c>
      <c r="AB13" s="3">
        <v>15000</v>
      </c>
      <c r="AC13" s="3">
        <v>452</v>
      </c>
      <c r="AE13" s="3">
        <v>15000</v>
      </c>
      <c r="AF13" s="3">
        <v>355</v>
      </c>
    </row>
    <row r="14" spans="3:32" x14ac:dyDescent="0.25">
      <c r="S14" s="3">
        <v>14800</v>
      </c>
      <c r="T14" s="3">
        <v>809</v>
      </c>
      <c r="V14" s="3">
        <v>14800</v>
      </c>
      <c r="W14" s="3">
        <v>1489</v>
      </c>
      <c r="Y14" s="3">
        <v>14800</v>
      </c>
      <c r="Z14" s="3">
        <v>1439</v>
      </c>
      <c r="AB14" s="3">
        <v>14800</v>
      </c>
      <c r="AC14" s="3">
        <v>572</v>
      </c>
      <c r="AE14" s="3">
        <v>14800</v>
      </c>
      <c r="AF14" s="3">
        <v>407</v>
      </c>
    </row>
    <row r="15" spans="3:32" x14ac:dyDescent="0.25">
      <c r="C15" s="3" t="s">
        <v>0</v>
      </c>
      <c r="D15" s="3" t="s">
        <v>27</v>
      </c>
      <c r="F15" s="3" t="s">
        <v>0</v>
      </c>
      <c r="G15" s="3" t="s">
        <v>27</v>
      </c>
      <c r="I15" s="1" t="s">
        <v>0</v>
      </c>
      <c r="J15" s="1" t="s">
        <v>27</v>
      </c>
      <c r="L15" s="3" t="s">
        <v>0</v>
      </c>
      <c r="M15" s="3" t="s">
        <v>27</v>
      </c>
      <c r="O15" s="3" t="s">
        <v>0</v>
      </c>
      <c r="P15" s="3" t="s">
        <v>27</v>
      </c>
      <c r="S15" s="3">
        <v>14600</v>
      </c>
      <c r="T15" s="3">
        <v>1105</v>
      </c>
      <c r="V15" s="3">
        <v>14600</v>
      </c>
      <c r="W15" s="3">
        <v>1904</v>
      </c>
      <c r="Y15" s="3">
        <v>14600</v>
      </c>
      <c r="Z15" s="3">
        <v>1556</v>
      </c>
      <c r="AB15" s="3">
        <v>14600</v>
      </c>
      <c r="AC15" s="3">
        <v>1340</v>
      </c>
      <c r="AE15" s="3">
        <v>14600</v>
      </c>
      <c r="AF15" s="3">
        <v>1450</v>
      </c>
    </row>
    <row r="16" spans="3:32" x14ac:dyDescent="0.25">
      <c r="C16" s="3">
        <v>16400</v>
      </c>
      <c r="D16" s="3">
        <v>4</v>
      </c>
      <c r="F16" s="3">
        <v>16400</v>
      </c>
      <c r="G16" s="3">
        <v>4</v>
      </c>
      <c r="I16" s="1">
        <v>16400</v>
      </c>
      <c r="J16" s="2">
        <v>4</v>
      </c>
      <c r="L16" s="3">
        <v>16400</v>
      </c>
      <c r="M16" s="3">
        <v>2</v>
      </c>
      <c r="O16" s="3">
        <v>16400</v>
      </c>
      <c r="P16" s="3">
        <v>4</v>
      </c>
      <c r="S16" s="3">
        <v>14400</v>
      </c>
      <c r="T16" s="3" t="s">
        <v>1</v>
      </c>
      <c r="V16" s="3">
        <v>14400</v>
      </c>
      <c r="W16" s="3" t="s">
        <v>1</v>
      </c>
      <c r="Y16" s="3">
        <v>14400</v>
      </c>
      <c r="Z16" s="3">
        <v>2283</v>
      </c>
      <c r="AB16" s="3">
        <v>14400</v>
      </c>
      <c r="AC16" s="3" t="s">
        <v>1</v>
      </c>
      <c r="AE16" s="3">
        <v>14400</v>
      </c>
      <c r="AF16" s="3" t="s">
        <v>1</v>
      </c>
    </row>
    <row r="17" spans="3:32" x14ac:dyDescent="0.25">
      <c r="C17" s="3">
        <v>16200</v>
      </c>
      <c r="D17" s="3">
        <v>5</v>
      </c>
      <c r="F17" s="3">
        <v>16200</v>
      </c>
      <c r="G17" s="3">
        <v>5</v>
      </c>
      <c r="I17" s="1">
        <v>16200</v>
      </c>
      <c r="J17" s="2">
        <v>5</v>
      </c>
      <c r="L17" s="3">
        <v>16200</v>
      </c>
      <c r="M17" s="3">
        <v>2</v>
      </c>
      <c r="O17" s="3">
        <v>16200</v>
      </c>
      <c r="P17" s="3">
        <v>5</v>
      </c>
      <c r="S17" s="3">
        <v>14200</v>
      </c>
      <c r="T17" s="3" t="s">
        <v>1</v>
      </c>
      <c r="V17" s="3">
        <v>14200</v>
      </c>
      <c r="W17" s="3" t="s">
        <v>1</v>
      </c>
      <c r="Y17" s="3">
        <v>14200</v>
      </c>
      <c r="Z17" s="3" t="s">
        <v>1</v>
      </c>
      <c r="AB17" s="3">
        <v>14200</v>
      </c>
      <c r="AC17" s="3" t="s">
        <v>1</v>
      </c>
      <c r="AE17" s="3">
        <v>14200</v>
      </c>
      <c r="AF17" s="3" t="s">
        <v>1</v>
      </c>
    </row>
    <row r="18" spans="3:32" x14ac:dyDescent="0.25">
      <c r="C18" s="3">
        <v>16000</v>
      </c>
      <c r="D18" s="3">
        <v>7</v>
      </c>
      <c r="F18" s="3">
        <v>16000</v>
      </c>
      <c r="G18" s="3">
        <v>17</v>
      </c>
      <c r="I18" s="1">
        <v>16000</v>
      </c>
      <c r="J18" s="2">
        <v>7</v>
      </c>
      <c r="L18" s="3">
        <v>16000</v>
      </c>
      <c r="M18" s="3">
        <v>2</v>
      </c>
      <c r="O18" s="3">
        <v>16000</v>
      </c>
      <c r="P18" s="3">
        <v>9</v>
      </c>
    </row>
    <row r="19" spans="3:32" x14ac:dyDescent="0.25">
      <c r="C19" s="3">
        <v>15800</v>
      </c>
      <c r="D19" s="3">
        <v>7</v>
      </c>
      <c r="F19" s="3">
        <v>15800</v>
      </c>
      <c r="G19" s="3">
        <v>17</v>
      </c>
      <c r="I19" s="1">
        <v>15800</v>
      </c>
      <c r="J19" s="2">
        <v>7</v>
      </c>
      <c r="L19" s="3">
        <v>15800</v>
      </c>
      <c r="M19" s="3">
        <v>2</v>
      </c>
      <c r="O19" s="3">
        <v>15800</v>
      </c>
      <c r="P19" s="3">
        <v>26</v>
      </c>
    </row>
    <row r="20" spans="3:32" x14ac:dyDescent="0.25">
      <c r="C20" s="3">
        <v>15600</v>
      </c>
      <c r="D20" s="3">
        <v>30</v>
      </c>
      <c r="F20" s="3">
        <v>15600</v>
      </c>
      <c r="G20" s="3">
        <v>137</v>
      </c>
      <c r="I20" s="1">
        <v>15600</v>
      </c>
      <c r="J20" s="2">
        <v>155</v>
      </c>
      <c r="L20" s="3">
        <v>15600</v>
      </c>
      <c r="M20" s="3">
        <v>25</v>
      </c>
      <c r="O20" s="3">
        <v>15600</v>
      </c>
      <c r="P20" s="3">
        <v>31</v>
      </c>
      <c r="S20" s="3" t="s">
        <v>0</v>
      </c>
      <c r="T20" s="3" t="s">
        <v>26</v>
      </c>
      <c r="V20" s="3" t="s">
        <v>0</v>
      </c>
      <c r="W20" s="3" t="s">
        <v>26</v>
      </c>
      <c r="Y20" s="3" t="s">
        <v>0</v>
      </c>
      <c r="Z20" s="3" t="s">
        <v>26</v>
      </c>
      <c r="AB20" s="3" t="s">
        <v>0</v>
      </c>
      <c r="AC20" s="3" t="s">
        <v>26</v>
      </c>
      <c r="AE20" s="3" t="s">
        <v>0</v>
      </c>
      <c r="AF20" s="3" t="s">
        <v>26</v>
      </c>
    </row>
    <row r="21" spans="3:32" x14ac:dyDescent="0.25">
      <c r="C21" s="3">
        <v>15400</v>
      </c>
      <c r="D21" s="3">
        <v>285</v>
      </c>
      <c r="F21" s="3">
        <v>15400</v>
      </c>
      <c r="G21" s="3">
        <v>148</v>
      </c>
      <c r="I21" s="1">
        <v>15400</v>
      </c>
      <c r="J21" s="2">
        <v>304</v>
      </c>
      <c r="L21" s="3">
        <v>15400</v>
      </c>
      <c r="M21" s="3">
        <v>277</v>
      </c>
      <c r="O21" s="3">
        <v>15400</v>
      </c>
      <c r="P21" s="3">
        <v>103</v>
      </c>
      <c r="S21" s="3">
        <v>16400</v>
      </c>
      <c r="T21" s="3">
        <v>11</v>
      </c>
      <c r="V21" s="3">
        <v>16400</v>
      </c>
      <c r="W21" s="3">
        <v>13</v>
      </c>
      <c r="Y21" s="3">
        <v>16400</v>
      </c>
      <c r="Z21" s="3">
        <v>12</v>
      </c>
      <c r="AB21" s="3">
        <v>16400</v>
      </c>
      <c r="AC21" s="3">
        <v>2</v>
      </c>
      <c r="AE21" s="3">
        <v>16400</v>
      </c>
      <c r="AF21" s="3">
        <v>5</v>
      </c>
    </row>
    <row r="22" spans="3:32" x14ac:dyDescent="0.25">
      <c r="C22" s="3">
        <v>15200</v>
      </c>
      <c r="D22" s="3">
        <v>371</v>
      </c>
      <c r="F22" s="3">
        <v>15200</v>
      </c>
      <c r="G22" s="3">
        <v>238</v>
      </c>
      <c r="I22" s="1">
        <v>15200</v>
      </c>
      <c r="J22" s="2">
        <v>304</v>
      </c>
      <c r="L22" s="3">
        <v>15200</v>
      </c>
      <c r="M22" s="3">
        <v>464</v>
      </c>
      <c r="O22" s="3">
        <v>15200</v>
      </c>
      <c r="P22" s="3">
        <v>179</v>
      </c>
      <c r="S22" s="3">
        <v>16200</v>
      </c>
      <c r="T22" s="3">
        <v>11</v>
      </c>
      <c r="V22" s="3">
        <v>16200</v>
      </c>
      <c r="W22" s="3">
        <v>43</v>
      </c>
      <c r="Y22" s="3">
        <v>16200</v>
      </c>
      <c r="Z22" s="3">
        <v>12</v>
      </c>
      <c r="AB22" s="3">
        <v>16200</v>
      </c>
      <c r="AC22" s="3">
        <v>8</v>
      </c>
      <c r="AE22" s="3">
        <v>16200</v>
      </c>
      <c r="AF22" s="3">
        <v>5</v>
      </c>
    </row>
    <row r="23" spans="3:32" x14ac:dyDescent="0.25">
      <c r="S23" s="3">
        <v>16000</v>
      </c>
      <c r="T23" s="3">
        <v>11</v>
      </c>
      <c r="V23" s="3">
        <v>16000</v>
      </c>
      <c r="W23" s="3">
        <v>43</v>
      </c>
      <c r="Y23" s="3">
        <v>16000</v>
      </c>
      <c r="Z23" s="3">
        <v>24</v>
      </c>
      <c r="AB23" s="3">
        <v>16000</v>
      </c>
      <c r="AC23" s="3">
        <v>17</v>
      </c>
      <c r="AE23" s="3">
        <v>16000</v>
      </c>
      <c r="AF23" s="3">
        <v>8</v>
      </c>
    </row>
    <row r="24" spans="3:32" x14ac:dyDescent="0.25">
      <c r="S24" s="3">
        <v>15800</v>
      </c>
      <c r="T24" s="3">
        <v>11</v>
      </c>
      <c r="V24" s="3">
        <v>15800</v>
      </c>
      <c r="W24" s="3">
        <v>52</v>
      </c>
      <c r="Y24" s="3">
        <v>15800</v>
      </c>
      <c r="Z24" s="3">
        <v>24</v>
      </c>
      <c r="AB24" s="3">
        <v>15800</v>
      </c>
      <c r="AC24" s="3">
        <v>23</v>
      </c>
      <c r="AE24" s="3">
        <v>15800</v>
      </c>
      <c r="AF24" s="3">
        <v>8</v>
      </c>
    </row>
    <row r="25" spans="3:32" x14ac:dyDescent="0.25">
      <c r="C25" s="3" t="s">
        <v>0</v>
      </c>
      <c r="D25" s="3" t="s">
        <v>2</v>
      </c>
      <c r="F25" s="3" t="s">
        <v>0</v>
      </c>
      <c r="G25" s="3" t="s">
        <v>3</v>
      </c>
      <c r="S25" s="3">
        <v>15600</v>
      </c>
      <c r="T25" s="3">
        <v>26</v>
      </c>
      <c r="V25" s="3">
        <v>15600</v>
      </c>
      <c r="W25" s="3">
        <v>52</v>
      </c>
      <c r="Y25" s="3">
        <v>15600</v>
      </c>
      <c r="Z25" s="3">
        <v>27</v>
      </c>
      <c r="AB25" s="3">
        <v>15600</v>
      </c>
      <c r="AC25" s="3">
        <v>56</v>
      </c>
      <c r="AE25" s="3">
        <v>15600</v>
      </c>
      <c r="AF25" s="3">
        <v>8</v>
      </c>
    </row>
    <row r="26" spans="3:32" x14ac:dyDescent="0.25">
      <c r="C26" s="3">
        <v>16400</v>
      </c>
      <c r="D26" s="3">
        <f t="shared" ref="D26:D31" si="0">AVERAGE(D6,G6,J6,M6,P6,D16,G16,J16,M16,P16)</f>
        <v>3.3</v>
      </c>
      <c r="F26" s="3">
        <v>16400</v>
      </c>
      <c r="G26" s="3">
        <v>154</v>
      </c>
      <c r="S26" s="3">
        <v>15400</v>
      </c>
      <c r="T26" s="3">
        <v>55</v>
      </c>
      <c r="V26" s="3">
        <v>15400</v>
      </c>
      <c r="W26" s="3">
        <v>60</v>
      </c>
      <c r="Y26" s="3">
        <v>15400</v>
      </c>
      <c r="Z26" s="3">
        <v>55</v>
      </c>
      <c r="AB26" s="3">
        <v>15400</v>
      </c>
      <c r="AC26" s="3">
        <v>117</v>
      </c>
      <c r="AE26" s="3">
        <v>15400</v>
      </c>
      <c r="AF26" s="3">
        <v>26</v>
      </c>
    </row>
    <row r="27" spans="3:32" x14ac:dyDescent="0.25">
      <c r="C27" s="3">
        <v>16200</v>
      </c>
      <c r="D27" s="3">
        <f t="shared" si="0"/>
        <v>3.8</v>
      </c>
      <c r="F27" s="3">
        <v>16200</v>
      </c>
      <c r="G27" s="3">
        <v>199</v>
      </c>
      <c r="S27" s="3">
        <v>15200</v>
      </c>
      <c r="T27" s="3">
        <v>55</v>
      </c>
      <c r="V27" s="3">
        <v>15200</v>
      </c>
      <c r="W27" s="3">
        <v>64</v>
      </c>
      <c r="Y27" s="3">
        <v>15200</v>
      </c>
      <c r="Z27" s="3">
        <v>76</v>
      </c>
      <c r="AB27" s="3">
        <v>15200</v>
      </c>
      <c r="AC27" s="3">
        <v>230</v>
      </c>
      <c r="AE27" s="3">
        <v>15200</v>
      </c>
      <c r="AF27" s="3">
        <v>325</v>
      </c>
    </row>
    <row r="28" spans="3:32" x14ac:dyDescent="0.25">
      <c r="C28" s="3">
        <v>16000</v>
      </c>
      <c r="D28" s="3">
        <f t="shared" si="0"/>
        <v>6.7</v>
      </c>
      <c r="F28" s="3">
        <v>16000</v>
      </c>
      <c r="G28" s="3">
        <v>199</v>
      </c>
      <c r="S28" s="3">
        <v>15000</v>
      </c>
      <c r="T28" s="3">
        <v>55</v>
      </c>
      <c r="V28" s="3">
        <v>15000</v>
      </c>
      <c r="W28" s="3">
        <v>473</v>
      </c>
      <c r="Y28" s="3">
        <v>15000</v>
      </c>
      <c r="Z28" s="3">
        <v>445</v>
      </c>
      <c r="AB28" s="3">
        <v>15000</v>
      </c>
      <c r="AC28" s="3">
        <v>303</v>
      </c>
      <c r="AE28" s="3">
        <v>15000</v>
      </c>
      <c r="AF28" s="3">
        <v>378</v>
      </c>
    </row>
    <row r="29" spans="3:32" x14ac:dyDescent="0.25">
      <c r="C29" s="3">
        <v>15800</v>
      </c>
      <c r="D29" s="3">
        <f t="shared" si="0"/>
        <v>8.4</v>
      </c>
      <c r="F29" s="3">
        <v>15800</v>
      </c>
      <c r="G29" s="3">
        <v>438</v>
      </c>
      <c r="S29" s="3">
        <v>14800</v>
      </c>
      <c r="T29" s="3">
        <v>733</v>
      </c>
      <c r="V29" s="3">
        <v>14800</v>
      </c>
      <c r="W29" s="3">
        <v>537</v>
      </c>
      <c r="Y29" s="3">
        <v>14800</v>
      </c>
      <c r="Z29" s="3">
        <v>968</v>
      </c>
      <c r="AB29" s="3">
        <v>14800</v>
      </c>
      <c r="AC29" s="3">
        <v>770</v>
      </c>
      <c r="AE29" s="3">
        <v>14800</v>
      </c>
      <c r="AF29" s="3">
        <v>403</v>
      </c>
    </row>
    <row r="30" spans="3:32" x14ac:dyDescent="0.25">
      <c r="C30" s="3">
        <v>15600</v>
      </c>
      <c r="D30" s="3">
        <f t="shared" si="0"/>
        <v>56.1</v>
      </c>
      <c r="F30" s="3">
        <v>15600</v>
      </c>
      <c r="G30" s="3">
        <v>680</v>
      </c>
      <c r="S30" s="3">
        <v>14600</v>
      </c>
      <c r="T30" s="3">
        <v>1792</v>
      </c>
      <c r="V30" s="3">
        <v>14600</v>
      </c>
      <c r="W30" s="3">
        <v>556</v>
      </c>
      <c r="Y30" s="3">
        <v>14600</v>
      </c>
      <c r="Z30" s="3">
        <v>1222</v>
      </c>
      <c r="AB30" s="3">
        <v>14600</v>
      </c>
      <c r="AC30" s="3">
        <v>836</v>
      </c>
      <c r="AE30" s="3">
        <v>14600</v>
      </c>
      <c r="AF30" s="3">
        <v>453</v>
      </c>
    </row>
    <row r="31" spans="3:32" x14ac:dyDescent="0.25">
      <c r="C31" s="3">
        <v>15400</v>
      </c>
      <c r="D31" s="3">
        <f t="shared" si="0"/>
        <v>153.5</v>
      </c>
      <c r="F31" s="3">
        <v>15400</v>
      </c>
      <c r="G31" s="3">
        <v>1051</v>
      </c>
      <c r="S31" s="3">
        <v>14400</v>
      </c>
      <c r="T31" s="3" t="s">
        <v>1</v>
      </c>
      <c r="V31" s="3">
        <v>14400</v>
      </c>
      <c r="W31" s="3">
        <v>1428</v>
      </c>
      <c r="Y31" s="3">
        <v>14400</v>
      </c>
      <c r="Z31" s="3">
        <v>1549</v>
      </c>
      <c r="AB31" s="3">
        <v>14400</v>
      </c>
      <c r="AC31" s="3">
        <v>1008</v>
      </c>
      <c r="AE31" s="3">
        <v>14400</v>
      </c>
      <c r="AF31" s="3">
        <v>1134</v>
      </c>
    </row>
    <row r="32" spans="3:32" x14ac:dyDescent="0.25">
      <c r="C32" s="3">
        <v>15200</v>
      </c>
      <c r="D32" s="3"/>
      <c r="F32" s="3">
        <v>15200</v>
      </c>
      <c r="G32" s="3">
        <v>1323</v>
      </c>
      <c r="S32" s="3">
        <v>14200</v>
      </c>
      <c r="T32" s="3" t="s">
        <v>1</v>
      </c>
      <c r="V32" s="3">
        <v>14200</v>
      </c>
      <c r="W32" s="3" t="s">
        <v>1</v>
      </c>
      <c r="Y32" s="3">
        <v>14200</v>
      </c>
      <c r="Z32" s="3" t="s">
        <v>1</v>
      </c>
      <c r="AB32" s="3">
        <v>14200</v>
      </c>
      <c r="AC32" s="3">
        <v>1157</v>
      </c>
      <c r="AE32" s="3">
        <v>14200</v>
      </c>
      <c r="AF32" s="3" t="s">
        <v>1</v>
      </c>
    </row>
    <row r="33" spans="4:23" x14ac:dyDescent="0.25">
      <c r="F33" s="3">
        <v>15000</v>
      </c>
      <c r="G33" s="3">
        <v>2499</v>
      </c>
    </row>
    <row r="34" spans="4:23" x14ac:dyDescent="0.25">
      <c r="F34" s="3">
        <v>14800</v>
      </c>
      <c r="G34" s="3">
        <v>3962</v>
      </c>
    </row>
    <row r="35" spans="4:23" x14ac:dyDescent="0.25">
      <c r="F35" s="3">
        <v>14600</v>
      </c>
      <c r="G35" s="3">
        <v>4922</v>
      </c>
      <c r="S35" s="3" t="s">
        <v>0</v>
      </c>
      <c r="T35" s="3" t="s">
        <v>19</v>
      </c>
    </row>
    <row r="36" spans="4:23" x14ac:dyDescent="0.25">
      <c r="F36" s="3"/>
      <c r="G36" s="3"/>
      <c r="S36" s="3">
        <v>16400</v>
      </c>
      <c r="T36" s="3">
        <f t="shared" ref="T36:T45" si="1">AVERAGE(T6,W6,Z6,AC6,AF6,T21,W21,Z21,AC21,AF21)</f>
        <v>9.4</v>
      </c>
    </row>
    <row r="37" spans="4:23" x14ac:dyDescent="0.25">
      <c r="S37" s="3">
        <v>16200</v>
      </c>
      <c r="T37" s="3">
        <f t="shared" si="1"/>
        <v>19.399999999999999</v>
      </c>
    </row>
    <row r="38" spans="4:23" x14ac:dyDescent="0.25">
      <c r="S38" s="3">
        <v>16000</v>
      </c>
      <c r="T38" s="3">
        <f t="shared" si="1"/>
        <v>22</v>
      </c>
    </row>
    <row r="39" spans="4:23" x14ac:dyDescent="0.25">
      <c r="D39" s="3" t="s">
        <v>12</v>
      </c>
      <c r="F39" s="8" t="s">
        <v>5</v>
      </c>
      <c r="G39" s="8"/>
      <c r="S39" s="3">
        <v>15800</v>
      </c>
      <c r="T39" s="3">
        <f t="shared" si="1"/>
        <v>32.700000000000003</v>
      </c>
    </row>
    <row r="40" spans="4:23" x14ac:dyDescent="0.25">
      <c r="D40" s="4">
        <v>14383.409760660899</v>
      </c>
      <c r="F40" s="8">
        <f>MAX(D40:D49)</f>
        <v>15354.7181179826</v>
      </c>
      <c r="G40" s="8"/>
      <c r="S40" s="3">
        <v>15600</v>
      </c>
      <c r="T40" s="3">
        <f t="shared" si="1"/>
        <v>58.8</v>
      </c>
    </row>
    <row r="41" spans="4:23" x14ac:dyDescent="0.25">
      <c r="D41" s="4">
        <v>15354.7181179826</v>
      </c>
      <c r="S41" s="3">
        <v>15400</v>
      </c>
      <c r="T41" s="3">
        <f t="shared" si="1"/>
        <v>99.4</v>
      </c>
    </row>
    <row r="42" spans="4:23" x14ac:dyDescent="0.25">
      <c r="D42" s="4">
        <v>15275.327635825101</v>
      </c>
      <c r="F42" s="8" t="s">
        <v>6</v>
      </c>
      <c r="G42" s="8"/>
      <c r="S42" s="3">
        <v>15200</v>
      </c>
      <c r="T42" s="3">
        <f t="shared" si="1"/>
        <v>283.39999999999998</v>
      </c>
    </row>
    <row r="43" spans="4:23" x14ac:dyDescent="0.25">
      <c r="D43" s="4">
        <v>15179.261278696</v>
      </c>
      <c r="F43" s="8">
        <f>MIN(D40:D49)</f>
        <v>14383.409760660899</v>
      </c>
      <c r="G43" s="8"/>
      <c r="S43" s="3">
        <v>15000</v>
      </c>
      <c r="T43" s="3">
        <f t="shared" si="1"/>
        <v>458.5</v>
      </c>
    </row>
    <row r="44" spans="4:23" x14ac:dyDescent="0.25">
      <c r="D44" s="4">
        <v>15251.434359950799</v>
      </c>
      <c r="S44" s="3">
        <v>14800</v>
      </c>
      <c r="T44" s="3">
        <f t="shared" si="1"/>
        <v>812.7</v>
      </c>
    </row>
    <row r="45" spans="4:23" x14ac:dyDescent="0.25">
      <c r="D45" s="4">
        <v>14937.011912292201</v>
      </c>
      <c r="F45" s="8" t="s">
        <v>7</v>
      </c>
      <c r="G45" s="8"/>
      <c r="S45" s="3">
        <v>14600</v>
      </c>
      <c r="T45" s="3">
        <f t="shared" si="1"/>
        <v>1221.4000000000001</v>
      </c>
    </row>
    <row r="46" spans="4:23" x14ac:dyDescent="0.25">
      <c r="D46" s="4">
        <v>15172.183499528001</v>
      </c>
      <c r="F46" s="8">
        <f>MEDIAN(D40:D49)</f>
        <v>15175.722389112001</v>
      </c>
      <c r="G46" s="8"/>
    </row>
    <row r="47" spans="4:23" x14ac:dyDescent="0.25">
      <c r="D47" s="4">
        <v>15197.8269396254</v>
      </c>
    </row>
    <row r="48" spans="4:23" x14ac:dyDescent="0.25">
      <c r="D48" s="4">
        <v>15054.320721313899</v>
      </c>
      <c r="F48" s="8" t="s">
        <v>8</v>
      </c>
      <c r="G48" s="8"/>
      <c r="T48" s="3" t="s">
        <v>20</v>
      </c>
      <c r="V48" s="8" t="s">
        <v>5</v>
      </c>
      <c r="W48" s="8"/>
    </row>
    <row r="49" spans="3:23" ht="15.75" thickBot="1" x14ac:dyDescent="0.3">
      <c r="D49" s="6">
        <v>14801.0622543384</v>
      </c>
      <c r="F49" s="8">
        <f>STDEVA(D40:D49)</f>
        <v>289.7611396985173</v>
      </c>
      <c r="G49" s="8"/>
      <c r="T49" s="3">
        <v>14422.242822513401</v>
      </c>
      <c r="V49" s="8">
        <f>MAX(T49:T58)</f>
        <v>14588.549605538101</v>
      </c>
      <c r="W49" s="8"/>
    </row>
    <row r="50" spans="3:23" ht="15.75" thickBot="1" x14ac:dyDescent="0.3">
      <c r="D50" s="5">
        <f>AVERAGE(D40:D49)</f>
        <v>15060.655648021333</v>
      </c>
      <c r="T50" s="4">
        <v>14588.549605538101</v>
      </c>
    </row>
    <row r="51" spans="3:23" x14ac:dyDescent="0.25">
      <c r="T51" s="4">
        <v>14276.3081325577</v>
      </c>
      <c r="V51" s="8" t="s">
        <v>6</v>
      </c>
      <c r="W51" s="8"/>
    </row>
    <row r="52" spans="3:23" x14ac:dyDescent="0.25">
      <c r="T52" s="4">
        <v>14423.1778724918</v>
      </c>
      <c r="V52" s="8">
        <f>MIN(T49:T58)</f>
        <v>14178.0401393543</v>
      </c>
      <c r="W52" s="8"/>
    </row>
    <row r="53" spans="3:23" x14ac:dyDescent="0.25">
      <c r="C53" s="8" t="s">
        <v>13</v>
      </c>
      <c r="D53" s="8"/>
      <c r="F53" s="8" t="s">
        <v>4</v>
      </c>
      <c r="G53" s="8"/>
      <c r="T53" s="4">
        <v>14441.1114820844</v>
      </c>
    </row>
    <row r="54" spans="3:23" x14ac:dyDescent="0.25">
      <c r="C54" s="3">
        <v>15060.655648021333</v>
      </c>
      <c r="D54" s="3">
        <v>0</v>
      </c>
      <c r="F54" s="3">
        <v>14405.955900000001</v>
      </c>
      <c r="G54" s="3">
        <v>0</v>
      </c>
      <c r="T54" s="4">
        <v>14469.086936886701</v>
      </c>
      <c r="V54" s="8" t="s">
        <v>7</v>
      </c>
      <c r="W54" s="8"/>
    </row>
    <row r="55" spans="3:23" x14ac:dyDescent="0.25">
      <c r="T55" s="4">
        <v>14342.0280118477</v>
      </c>
      <c r="V55" s="8">
        <f>MEDIAN(T49:T58)</f>
        <v>14382.135417180551</v>
      </c>
      <c r="W55" s="8"/>
    </row>
    <row r="56" spans="3:23" x14ac:dyDescent="0.25">
      <c r="T56" s="4">
        <v>14281.8314901004</v>
      </c>
    </row>
    <row r="57" spans="3:23" x14ac:dyDescent="0.25">
      <c r="D57" s="3" t="s">
        <v>14</v>
      </c>
      <c r="T57" s="4">
        <v>14178.0401393543</v>
      </c>
      <c r="V57" s="8" t="s">
        <v>8</v>
      </c>
      <c r="W57" s="8"/>
    </row>
    <row r="58" spans="3:23" ht="15.75" thickBot="1" x14ac:dyDescent="0.3">
      <c r="D58" s="4">
        <v>6049.5252</v>
      </c>
      <c r="T58" s="7">
        <v>14280.4355969589</v>
      </c>
      <c r="V58" s="8">
        <f>STDEVA(T49:T58)</f>
        <v>120.36982666560216</v>
      </c>
      <c r="W58" s="8"/>
    </row>
    <row r="59" spans="3:23" ht="15.75" thickBot="1" x14ac:dyDescent="0.3">
      <c r="D59" s="4">
        <v>6471.7550000000001</v>
      </c>
      <c r="T59" s="5">
        <f t="shared" ref="T59" si="2">AVERAGE(T49:T58)</f>
        <v>14370.281209033341</v>
      </c>
    </row>
    <row r="60" spans="3:23" x14ac:dyDescent="0.25">
      <c r="D60" s="4">
        <v>6477.1711999999998</v>
      </c>
    </row>
    <row r="61" spans="3:23" x14ac:dyDescent="0.25">
      <c r="D61" s="4">
        <v>13658.1242</v>
      </c>
    </row>
    <row r="62" spans="3:23" x14ac:dyDescent="0.25">
      <c r="D62" s="4">
        <v>6046.4429</v>
      </c>
      <c r="S62" s="8" t="s">
        <v>20</v>
      </c>
      <c r="T62" s="8"/>
    </row>
    <row r="63" spans="3:23" x14ac:dyDescent="0.25">
      <c r="D63" s="4">
        <v>12140.9697</v>
      </c>
      <c r="S63" s="3">
        <v>14370.281209033341</v>
      </c>
      <c r="T63" s="3">
        <v>0</v>
      </c>
    </row>
    <row r="64" spans="3:23" x14ac:dyDescent="0.25">
      <c r="D64" s="4">
        <v>6001.2893999999997</v>
      </c>
    </row>
    <row r="65" spans="4:20" x14ac:dyDescent="0.25">
      <c r="D65" s="4">
        <v>5822.4915000000001</v>
      </c>
    </row>
    <row r="66" spans="4:20" x14ac:dyDescent="0.25">
      <c r="D66" s="4">
        <v>12985.095799999999</v>
      </c>
      <c r="T66" s="3" t="s">
        <v>21</v>
      </c>
    </row>
    <row r="67" spans="4:20" ht="15.75" thickBot="1" x14ac:dyDescent="0.3">
      <c r="D67" s="6">
        <v>14602.997300000001</v>
      </c>
      <c r="T67" s="3">
        <v>1980.5689</v>
      </c>
    </row>
    <row r="68" spans="4:20" ht="15.75" thickBot="1" x14ac:dyDescent="0.3">
      <c r="D68" s="5">
        <f>AVERAGE(D58:D67)</f>
        <v>9025.586220000001</v>
      </c>
      <c r="T68" s="3">
        <v>1989.616</v>
      </c>
    </row>
    <row r="69" spans="4:20" x14ac:dyDescent="0.25">
      <c r="T69" s="3">
        <v>1984.1412</v>
      </c>
    </row>
    <row r="70" spans="4:20" x14ac:dyDescent="0.25">
      <c r="D70" s="3" t="s">
        <v>15</v>
      </c>
      <c r="T70" s="3">
        <v>1988.5659000000001</v>
      </c>
    </row>
    <row r="71" spans="4:20" x14ac:dyDescent="0.25">
      <c r="D71" s="3">
        <f>MIN(D58:D67)</f>
        <v>5822.4915000000001</v>
      </c>
      <c r="T71" s="3">
        <v>1979.5894000000001</v>
      </c>
    </row>
    <row r="72" spans="4:20" x14ac:dyDescent="0.25">
      <c r="T72" s="3">
        <v>1985.6197999999999</v>
      </c>
    </row>
    <row r="73" spans="4:20" x14ac:dyDescent="0.25">
      <c r="D73" s="3" t="s">
        <v>16</v>
      </c>
      <c r="T73" s="3">
        <v>1982.4870000000001</v>
      </c>
    </row>
    <row r="74" spans="4:20" x14ac:dyDescent="0.25">
      <c r="D74" s="3">
        <f>MAX(D58:D67)</f>
        <v>14602.997300000001</v>
      </c>
      <c r="T74" s="3">
        <v>1982.2574999999999</v>
      </c>
    </row>
    <row r="75" spans="4:20" x14ac:dyDescent="0.25">
      <c r="T75" s="3">
        <v>1975.1615999999999</v>
      </c>
    </row>
    <row r="76" spans="4:20" ht="15.75" thickBot="1" x14ac:dyDescent="0.3">
      <c r="D76" s="3" t="s">
        <v>17</v>
      </c>
      <c r="T76" s="6">
        <v>1984.8946000000001</v>
      </c>
    </row>
    <row r="77" spans="4:20" ht="15.75" thickBot="1" x14ac:dyDescent="0.3">
      <c r="D77" s="3">
        <f>MEDIAN(D58:D67)</f>
        <v>6474.4630999999999</v>
      </c>
      <c r="T77" s="5">
        <f>AVERAGE(T67:T76)</f>
        <v>1983.2901900000002</v>
      </c>
    </row>
    <row r="79" spans="4:20" x14ac:dyDescent="0.25">
      <c r="D79" s="3" t="s">
        <v>18</v>
      </c>
      <c r="T79" s="3" t="s">
        <v>22</v>
      </c>
    </row>
    <row r="80" spans="4:20" x14ac:dyDescent="0.25">
      <c r="D80" s="3">
        <f>STDEVA(D58:D67)</f>
        <v>3772.799535329526</v>
      </c>
      <c r="T80" s="3">
        <f>MIN(T67:T76)</f>
        <v>1975.1615999999999</v>
      </c>
    </row>
    <row r="82" spans="4:20" x14ac:dyDescent="0.25">
      <c r="T82" s="3" t="s">
        <v>23</v>
      </c>
    </row>
    <row r="83" spans="4:20" x14ac:dyDescent="0.25">
      <c r="T83" s="3">
        <f>MAX(T67:T76)</f>
        <v>1989.616</v>
      </c>
    </row>
    <row r="84" spans="4:20" x14ac:dyDescent="0.25">
      <c r="D84" s="3" t="s">
        <v>9</v>
      </c>
    </row>
    <row r="85" spans="4:20" x14ac:dyDescent="0.25">
      <c r="D85" s="4">
        <v>650</v>
      </c>
      <c r="T85" s="3" t="s">
        <v>24</v>
      </c>
    </row>
    <row r="86" spans="4:20" x14ac:dyDescent="0.25">
      <c r="D86" s="4">
        <v>677</v>
      </c>
      <c r="T86" s="3">
        <f>MEDIAN(T67:T76)</f>
        <v>1983.3141000000001</v>
      </c>
    </row>
    <row r="87" spans="4:20" x14ac:dyDescent="0.25">
      <c r="D87" s="4">
        <v>680</v>
      </c>
    </row>
    <row r="88" spans="4:20" x14ac:dyDescent="0.25">
      <c r="D88" s="4">
        <v>690</v>
      </c>
      <c r="T88" s="3" t="s">
        <v>25</v>
      </c>
    </row>
    <row r="89" spans="4:20" x14ac:dyDescent="0.25">
      <c r="D89" s="4">
        <v>649</v>
      </c>
      <c r="T89" s="3">
        <f>STDEVA(T67:T76)</f>
        <v>4.2877243960585574</v>
      </c>
    </row>
    <row r="90" spans="4:20" x14ac:dyDescent="0.25">
      <c r="D90" s="4">
        <v>643</v>
      </c>
    </row>
    <row r="91" spans="4:20" x14ac:dyDescent="0.25">
      <c r="D91" s="4">
        <v>689</v>
      </c>
    </row>
    <row r="92" spans="4:20" x14ac:dyDescent="0.25">
      <c r="D92" s="4">
        <v>644</v>
      </c>
    </row>
    <row r="93" spans="4:20" x14ac:dyDescent="0.25">
      <c r="D93" s="4">
        <v>630</v>
      </c>
    </row>
    <row r="94" spans="4:20" ht="15.75" thickBot="1" x14ac:dyDescent="0.3">
      <c r="D94" s="4">
        <v>713</v>
      </c>
    </row>
    <row r="95" spans="4:20" ht="15.75" thickBot="1" x14ac:dyDescent="0.3">
      <c r="D95" s="5">
        <f>AVERAGE(D85:D94)</f>
        <v>666.5</v>
      </c>
    </row>
    <row r="97" spans="4:4" x14ac:dyDescent="0.25">
      <c r="D97" s="3" t="s">
        <v>10</v>
      </c>
    </row>
    <row r="98" spans="4:4" x14ac:dyDescent="0.25">
      <c r="D98" s="3">
        <f>MIN(D85:D94)</f>
        <v>630</v>
      </c>
    </row>
    <row r="100" spans="4:4" x14ac:dyDescent="0.25">
      <c r="D100" s="3" t="s">
        <v>11</v>
      </c>
    </row>
    <row r="101" spans="4:4" x14ac:dyDescent="0.25">
      <c r="D101" s="3">
        <f>MAX(D85:D94)</f>
        <v>713</v>
      </c>
    </row>
  </sheetData>
  <mergeCells count="19">
    <mergeCell ref="V55:W55"/>
    <mergeCell ref="V57:W57"/>
    <mergeCell ref="V58:W58"/>
    <mergeCell ref="S62:T62"/>
    <mergeCell ref="V48:W48"/>
    <mergeCell ref="V49:W49"/>
    <mergeCell ref="V51:W51"/>
    <mergeCell ref="V52:W52"/>
    <mergeCell ref="V54:W54"/>
    <mergeCell ref="C53:D53"/>
    <mergeCell ref="F53:G53"/>
    <mergeCell ref="F39:G39"/>
    <mergeCell ref="F40:G40"/>
    <mergeCell ref="F42:G42"/>
    <mergeCell ref="F43:G43"/>
    <mergeCell ref="F45:G45"/>
    <mergeCell ref="F46:G46"/>
    <mergeCell ref="F48:G48"/>
    <mergeCell ref="F49:G4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Skapinyecz Róbert</dc:creator>
  <cp:lastModifiedBy>Skapinyecz Róbert</cp:lastModifiedBy>
  <dcterms:created xsi:type="dcterms:W3CDTF">2015-06-05T18:19:34Z</dcterms:created>
  <dcterms:modified xsi:type="dcterms:W3CDTF">2026-09-14T20:49:52Z</dcterms:modified>
</cp:coreProperties>
</file>
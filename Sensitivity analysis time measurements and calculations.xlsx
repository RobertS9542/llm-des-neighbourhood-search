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okumentumok_2026\PS\Revision\Repository\"/>
    </mc:Choice>
  </mc:AlternateContent>
  <xr:revisionPtr revIDLastSave="0" documentId="13_ncr:1_{96D79600-E26B-4104-BD92-3F13A5A371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J16" i="1"/>
  <c r="F35" i="1"/>
  <c r="H16" i="1"/>
  <c r="F16" i="1"/>
  <c r="F19" i="1" s="1"/>
  <c r="C41" i="1"/>
  <c r="C35" i="1"/>
  <c r="C29" i="1"/>
  <c r="C16" i="1"/>
  <c r="O18" i="1" l="1"/>
  <c r="O34" i="1"/>
  <c r="O36" i="1"/>
  <c r="O38" i="1"/>
  <c r="J19" i="1"/>
  <c r="O20" i="1" l="1"/>
  <c r="O22" i="1"/>
</calcChain>
</file>

<file path=xl/sharedStrings.xml><?xml version="1.0" encoding="utf-8"?>
<sst xmlns="http://schemas.openxmlformats.org/spreadsheetml/2006/main" count="19" uniqueCount="19">
  <si>
    <t>3 worker initial sequence time (sec.)</t>
  </si>
  <si>
    <t>3 worker SA best sequence time (sec.)</t>
  </si>
  <si>
    <t>3 worker GA 15600 threshold sim. time (sec.)</t>
  </si>
  <si>
    <t>3 worker GA 15600 threshold total opt. time (sec.)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</si>
  <si>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scheme val="minor"/>
      </rPr>
      <t xml:space="preserve"> 3 worker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</si>
  <si>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scheme val="minor"/>
      </rPr>
      <t xml:space="preserve"> 3 worker</t>
    </r>
  </si>
  <si>
    <r>
      <rPr>
        <sz val="12"/>
        <color theme="1"/>
        <rFont val="Calibri"/>
        <family val="2"/>
        <scheme val="minor"/>
      </rPr>
      <t>C</t>
    </r>
    <r>
      <rPr>
        <sz val="8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scheme val="minor"/>
      </rPr>
      <t xml:space="preserve">  3 worker</t>
    </r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</si>
  <si>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GA</t>
    </r>
    <r>
      <rPr>
        <sz val="11"/>
        <color theme="1"/>
        <rFont val="Calibri"/>
        <family val="2"/>
        <scheme val="minor"/>
      </rPr>
      <t xml:space="preserve"> 3 worker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</si>
  <si>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GA</t>
    </r>
    <r>
      <rPr>
        <sz val="11"/>
        <color theme="1"/>
        <rFont val="Calibri"/>
        <family val="2"/>
        <scheme val="minor"/>
      </rPr>
      <t xml:space="preserve"> 3 worker</t>
    </r>
  </si>
  <si>
    <r>
      <rPr>
        <sz val="12"/>
        <color theme="1"/>
        <rFont val="Calibri"/>
        <family val="2"/>
        <scheme val="minor"/>
      </rPr>
      <t>C</t>
    </r>
    <r>
      <rPr>
        <sz val="8"/>
        <color theme="1"/>
        <rFont val="Calibri"/>
        <family val="2"/>
        <scheme val="minor"/>
      </rPr>
      <t>GA</t>
    </r>
    <r>
      <rPr>
        <sz val="11"/>
        <color theme="1"/>
        <rFont val="Calibri"/>
        <family val="2"/>
        <scheme val="minor"/>
      </rPr>
      <t xml:space="preserve">  3 worker</t>
    </r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</si>
  <si>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scheme val="minor"/>
      </rPr>
      <t xml:space="preserve"> 3 worker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</si>
  <si>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scheme val="minor"/>
      </rPr>
      <t xml:space="preserve"> 3 worker</t>
    </r>
  </si>
  <si>
    <r>
      <rPr>
        <sz val="12"/>
        <color theme="1"/>
        <rFont val="Calibri"/>
        <family val="2"/>
        <scheme val="minor"/>
      </rPr>
      <t>C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scheme val="minor"/>
      </rPr>
      <t xml:space="preserve">  3 worker</t>
    </r>
  </si>
  <si>
    <r>
      <t>t*</t>
    </r>
    <r>
      <rPr>
        <sz val="8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LLM-SA (1,1) =</t>
    </r>
  </si>
  <si>
    <r>
      <t>t*</t>
    </r>
    <r>
      <rPr>
        <sz val="8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LLM-GA (1,1) =</t>
    </r>
  </si>
  <si>
    <r>
      <t>t*</t>
    </r>
    <r>
      <rPr>
        <sz val="8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LLM-SA (2,1) =</t>
    </r>
  </si>
  <si>
    <r>
      <t>t*</t>
    </r>
    <r>
      <rPr>
        <sz val="8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LLM-SA (5,1) =</t>
    </r>
  </si>
  <si>
    <r>
      <t>t*</t>
    </r>
    <r>
      <rPr>
        <sz val="8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LLM-GA (2,1) =</t>
    </r>
  </si>
  <si>
    <r>
      <t>t*</t>
    </r>
    <r>
      <rPr>
        <sz val="8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LLM-GA (5,1)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</si>
</sst>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O41"/>
  <sheetViews>
    <sheetView tabSelected="1" topLeftCell="A4" workbookViewId="0">
      <selection activeCell="P29" sqref="P29"/>
    </sheetView>
  </sheetViews>
  <sheetFormatPr defaultRowHeight="15" x14ac:dyDescent="0.25"/>
  <cols>
    <col min="3" max="3" width="44.7109375" customWidth="1"/>
    <col min="6" max="6" width="15.5703125" customWidth="1"/>
    <col min="8" max="8" width="14.85546875" customWidth="1"/>
    <col min="10" max="10" width="16.28515625" customWidth="1"/>
    <col min="12" max="12" width="17.7109375" customWidth="1"/>
    <col min="14" max="14" width="16.5703125" customWidth="1"/>
  </cols>
  <sheetData>
    <row r="5" spans="3:12" ht="15.75" x14ac:dyDescent="0.25">
      <c r="C5" s="1" t="s">
        <v>0</v>
      </c>
      <c r="F5" s="1" t="s">
        <v>4</v>
      </c>
      <c r="H5" s="1" t="s">
        <v>5</v>
      </c>
      <c r="J5" s="1" t="s">
        <v>10</v>
      </c>
      <c r="L5" s="1" t="s">
        <v>11</v>
      </c>
    </row>
    <row r="6" spans="3:12" x14ac:dyDescent="0.25">
      <c r="C6" s="1">
        <v>5.0000000000000001E-3</v>
      </c>
      <c r="F6" s="4">
        <v>172.59620000000001</v>
      </c>
      <c r="G6" s="5"/>
      <c r="H6" s="4">
        <v>45.531799999999997</v>
      </c>
      <c r="J6" s="4">
        <v>226.49420000000001</v>
      </c>
      <c r="L6" s="4">
        <v>226.05590699999999</v>
      </c>
    </row>
    <row r="7" spans="3:12" x14ac:dyDescent="0.25">
      <c r="C7" s="1">
        <v>6.0000000000000001E-3</v>
      </c>
      <c r="F7" s="4">
        <v>250.822</v>
      </c>
      <c r="G7" s="5"/>
      <c r="H7" s="4">
        <v>70.053600000000003</v>
      </c>
      <c r="J7" s="4">
        <v>133.6234</v>
      </c>
      <c r="L7" s="4">
        <v>133.219426</v>
      </c>
    </row>
    <row r="8" spans="3:12" x14ac:dyDescent="0.25">
      <c r="C8" s="1">
        <v>4.0000000000000001E-3</v>
      </c>
      <c r="F8" s="4">
        <v>949.60440000000006</v>
      </c>
      <c r="G8" s="5"/>
      <c r="H8" s="4">
        <v>258.25490000000002</v>
      </c>
      <c r="J8" s="4">
        <v>96.599900000000005</v>
      </c>
      <c r="L8" s="4">
        <v>96.311682000000005</v>
      </c>
    </row>
    <row r="9" spans="3:12" x14ac:dyDescent="0.25">
      <c r="C9" s="1">
        <v>6.0000000000000001E-3</v>
      </c>
      <c r="F9" s="4">
        <v>484.32670000000002</v>
      </c>
      <c r="G9" s="5"/>
      <c r="H9" s="4">
        <v>123.8275</v>
      </c>
      <c r="J9" s="4">
        <v>57.087499999999999</v>
      </c>
      <c r="L9" s="4">
        <v>56.947358000000001</v>
      </c>
    </row>
    <row r="10" spans="3:12" x14ac:dyDescent="0.25">
      <c r="C10" s="1">
        <v>6.0000000000000001E-3</v>
      </c>
      <c r="F10" s="4">
        <v>229.8357</v>
      </c>
      <c r="G10" s="5"/>
      <c r="H10" s="4">
        <v>57.281700000000001</v>
      </c>
      <c r="J10" s="4">
        <v>9.8954000000000004</v>
      </c>
      <c r="L10" s="4">
        <v>9.8626749999999994</v>
      </c>
    </row>
    <row r="11" spans="3:12" x14ac:dyDescent="0.25">
      <c r="C11" s="1">
        <v>6.0000000000000001E-3</v>
      </c>
      <c r="F11" s="4">
        <v>643.33370000000002</v>
      </c>
      <c r="G11" s="5"/>
      <c r="H11" s="4">
        <v>91.265299999999996</v>
      </c>
      <c r="J11" s="4">
        <v>55.662700000000001</v>
      </c>
      <c r="L11" s="4">
        <v>55.489080999999999</v>
      </c>
    </row>
    <row r="12" spans="3:12" x14ac:dyDescent="0.25">
      <c r="C12" s="1">
        <v>6.0000000000000001E-3</v>
      </c>
      <c r="F12" s="4">
        <v>227.71090000000001</v>
      </c>
      <c r="G12" s="5"/>
      <c r="H12" s="4">
        <v>58.069000000000003</v>
      </c>
      <c r="J12" s="4">
        <v>50.418599999999998</v>
      </c>
      <c r="L12" s="4">
        <v>50.301999000000002</v>
      </c>
    </row>
    <row r="13" spans="3:12" x14ac:dyDescent="0.25">
      <c r="C13" s="1">
        <v>6.0000000000000001E-3</v>
      </c>
      <c r="F13" s="4">
        <v>334.91500000000002</v>
      </c>
      <c r="G13" s="5"/>
      <c r="H13" s="4">
        <v>93.7196</v>
      </c>
      <c r="J13" s="4">
        <v>29.932200000000002</v>
      </c>
      <c r="L13" s="4">
        <v>29.834298</v>
      </c>
    </row>
    <row r="14" spans="3:12" x14ac:dyDescent="0.25">
      <c r="C14" s="1">
        <v>6.0000000000000001E-3</v>
      </c>
      <c r="F14" s="4">
        <v>210.6825</v>
      </c>
      <c r="G14" s="5"/>
      <c r="H14" s="4">
        <v>59.712000000000003</v>
      </c>
      <c r="J14" s="4">
        <v>21.28</v>
      </c>
      <c r="L14" s="4">
        <v>21.215764</v>
      </c>
    </row>
    <row r="15" spans="3:12" ht="15.75" thickBot="1" x14ac:dyDescent="0.3">
      <c r="C15" s="2">
        <v>5.0000000000000001E-3</v>
      </c>
      <c r="F15" s="6">
        <v>199.02330000000001</v>
      </c>
      <c r="G15" s="5"/>
      <c r="H15" s="6">
        <v>57.292299999999997</v>
      </c>
      <c r="J15" s="6">
        <v>13.607900000000001</v>
      </c>
      <c r="L15" s="6">
        <v>13.565338000000001</v>
      </c>
    </row>
    <row r="16" spans="3:12" ht="15.75" thickBot="1" x14ac:dyDescent="0.3">
      <c r="C16" s="3">
        <f>AVERAGE(C6:C15)</f>
        <v>5.5999999999999991E-3</v>
      </c>
      <c r="F16" s="7">
        <f>AVERAGE(F6:F15)</f>
        <v>370.28503999999998</v>
      </c>
      <c r="G16" s="5"/>
      <c r="H16" s="7">
        <f>AVERAGE(H6:H15)</f>
        <v>91.500769999999989</v>
      </c>
      <c r="J16" s="7">
        <f>AVERAGE(J6:J15)</f>
        <v>69.460179999999994</v>
      </c>
      <c r="L16" s="7">
        <f>AVERAGE(L6:L15)</f>
        <v>69.280352800000003</v>
      </c>
    </row>
    <row r="18" spans="3:15" ht="16.5" thickBot="1" x14ac:dyDescent="0.3">
      <c r="C18" s="1" t="s">
        <v>1</v>
      </c>
      <c r="F18" s="2" t="s">
        <v>6</v>
      </c>
      <c r="J18" s="2" t="s">
        <v>12</v>
      </c>
      <c r="N18" t="s">
        <v>13</v>
      </c>
      <c r="O18">
        <f>(F19-J19)/(107.5-39.3)</f>
        <v>4.0851091319648098</v>
      </c>
    </row>
    <row r="19" spans="3:15" ht="15.75" thickBot="1" x14ac:dyDescent="0.3">
      <c r="C19" s="1">
        <v>5.0000000000000001E-3</v>
      </c>
      <c r="F19" s="3">
        <f>F16-H16</f>
        <v>278.78426999999999</v>
      </c>
      <c r="J19" s="3">
        <f>J16-L16</f>
        <v>0.17982719999999119</v>
      </c>
    </row>
    <row r="20" spans="3:15" x14ac:dyDescent="0.25">
      <c r="C20" s="1">
        <v>5.0000000000000001E-3</v>
      </c>
      <c r="N20" t="s">
        <v>15</v>
      </c>
      <c r="O20">
        <f>(2*F19-J19)/(107.5-39.3)</f>
        <v>8.1728550263929609</v>
      </c>
    </row>
    <row r="21" spans="3:15" x14ac:dyDescent="0.25">
      <c r="C21" s="1">
        <v>6.0000000000000001E-3</v>
      </c>
    </row>
    <row r="22" spans="3:15" x14ac:dyDescent="0.25">
      <c r="C22" s="1">
        <v>4.0000000000000001E-3</v>
      </c>
      <c r="N22" t="s">
        <v>16</v>
      </c>
      <c r="O22">
        <f>(5*F19-J19)/(107.5-39.3)</f>
        <v>20.436092709677418</v>
      </c>
    </row>
    <row r="23" spans="3:15" x14ac:dyDescent="0.25">
      <c r="C23" s="1">
        <v>6.0000000000000001E-3</v>
      </c>
    </row>
    <row r="24" spans="3:15" x14ac:dyDescent="0.25">
      <c r="C24" s="1">
        <v>6.0000000000000001E-3</v>
      </c>
    </row>
    <row r="25" spans="3:15" x14ac:dyDescent="0.25">
      <c r="C25" s="1">
        <v>7.0000000000000001E-3</v>
      </c>
    </row>
    <row r="26" spans="3:15" x14ac:dyDescent="0.25">
      <c r="C26" s="1">
        <v>6.0000000000000001E-3</v>
      </c>
    </row>
    <row r="27" spans="3:15" x14ac:dyDescent="0.25">
      <c r="C27" s="1">
        <v>6.0000000000000001E-3</v>
      </c>
    </row>
    <row r="28" spans="3:15" ht="15.75" thickBot="1" x14ac:dyDescent="0.3">
      <c r="C28" s="2">
        <v>5.0000000000000001E-3</v>
      </c>
    </row>
    <row r="29" spans="3:15" ht="15.75" thickBot="1" x14ac:dyDescent="0.3">
      <c r="C29" s="3">
        <f>AVERAGE(C19:C28)</f>
        <v>5.5999999999999991E-3</v>
      </c>
    </row>
    <row r="31" spans="3:15" ht="16.5" thickBot="1" x14ac:dyDescent="0.3">
      <c r="C31" s="1" t="s">
        <v>2</v>
      </c>
      <c r="F31" s="2" t="s">
        <v>7</v>
      </c>
      <c r="H31" s="2" t="s">
        <v>8</v>
      </c>
    </row>
    <row r="32" spans="3:15" ht="15.75" thickBot="1" x14ac:dyDescent="0.3">
      <c r="C32" s="1">
        <v>3.3050000000000002</v>
      </c>
      <c r="F32" s="3">
        <v>6.3886666666666665</v>
      </c>
      <c r="H32" s="3">
        <v>3.468</v>
      </c>
    </row>
    <row r="33" spans="3:15" x14ac:dyDescent="0.25">
      <c r="C33" s="1">
        <v>3.8450000000000002</v>
      </c>
    </row>
    <row r="34" spans="3:15" ht="16.5" thickBot="1" x14ac:dyDescent="0.3">
      <c r="C34" s="2">
        <v>3.254</v>
      </c>
      <c r="F34" s="2" t="s">
        <v>9</v>
      </c>
      <c r="N34" t="s">
        <v>14</v>
      </c>
      <c r="O34">
        <f>(F19-F35)/(601-39.3)</f>
        <v>0.49112266927778764</v>
      </c>
    </row>
    <row r="35" spans="3:15" ht="15.75" thickBot="1" x14ac:dyDescent="0.3">
      <c r="C35" s="3">
        <f>AVERAGE(C32:C34)</f>
        <v>3.468</v>
      </c>
      <c r="F35" s="3">
        <f>F32-H32</f>
        <v>2.9206666666666665</v>
      </c>
    </row>
    <row r="36" spans="3:15" x14ac:dyDescent="0.25">
      <c r="N36" t="s">
        <v>17</v>
      </c>
      <c r="O36">
        <f>(2*F19-F35)/(601-39.3)</f>
        <v>0.98744502996854777</v>
      </c>
    </row>
    <row r="37" spans="3:15" x14ac:dyDescent="0.25">
      <c r="C37" s="1" t="s">
        <v>3</v>
      </c>
    </row>
    <row r="38" spans="3:15" x14ac:dyDescent="0.25">
      <c r="C38" s="1">
        <v>6.133</v>
      </c>
      <c r="N38" t="s">
        <v>18</v>
      </c>
      <c r="O38">
        <f>(5*F19-F35)/(601-39.3)</f>
        <v>2.4764121120408285</v>
      </c>
    </row>
    <row r="39" spans="3:15" x14ac:dyDescent="0.25">
      <c r="C39" s="1">
        <v>6.9550000000000001</v>
      </c>
    </row>
    <row r="40" spans="3:15" ht="15.75" thickBot="1" x14ac:dyDescent="0.3">
      <c r="C40" s="2">
        <v>6.0780000000000003</v>
      </c>
    </row>
    <row r="41" spans="3:15" ht="15.75" thickBot="1" x14ac:dyDescent="0.3">
      <c r="C41" s="3">
        <f>AVERAGE(C38:C40)</f>
        <v>6.3886666666666665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Skapinyecz Róbert</dc:creator>
  <cp:keywords/>
  <dc:description/>
  <cp:lastModifiedBy>Skapinyecz Róbert</cp:lastModifiedBy>
  <cp:revision/>
  <dcterms:created xsi:type="dcterms:W3CDTF">2015-06-05T18:19:34Z</dcterms:created>
  <dcterms:modified xsi:type="dcterms:W3CDTF">2026-09-05T19:41:04Z</dcterms:modified>
  <cp:category/>
  <cp:contentStatus/>
</cp:coreProperties>
</file>